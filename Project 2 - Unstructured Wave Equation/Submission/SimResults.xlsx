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c_rowsel_live_concordia_ca/Documents/Documents/School/Winter 2023/Mech-588/Project 2 - Unstructured Wave Equation/"/>
    </mc:Choice>
  </mc:AlternateContent>
  <xr:revisionPtr revIDLastSave="2" documentId="8_{38B4D2F9-0DCE-4293-BB40-FC52B6B555A6}" xr6:coauthVersionLast="47" xr6:coauthVersionMax="47" xr10:uidLastSave="{E96340C4-79B7-4106-85F4-C1CE8E9BF1D2}"/>
  <bookViews>
    <workbookView xWindow="3495" yWindow="3615" windowWidth="13950" windowHeight="11040" xr2:uid="{E75B3FFA-0839-405F-9DF7-E4C6318DF9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S10" i="1"/>
  <c r="N5" i="1"/>
  <c r="K6" i="1"/>
  <c r="T4" i="1"/>
  <c r="U4" i="1" s="1"/>
  <c r="S3" i="1"/>
  <c r="T3" i="1"/>
  <c r="U3" i="1"/>
  <c r="V3" i="1"/>
  <c r="R3" i="1"/>
  <c r="V4" i="1" l="1"/>
  <c r="K14" i="1"/>
  <c r="K12" i="1"/>
  <c r="K13" i="1"/>
  <c r="H14" i="1"/>
  <c r="H12" i="1"/>
  <c r="H13" i="1"/>
  <c r="N13" i="1" l="1"/>
  <c r="N14" i="1"/>
  <c r="N12" i="1"/>
</calcChain>
</file>

<file path=xl/sharedStrings.xml><?xml version="1.0" encoding="utf-8"?>
<sst xmlns="http://schemas.openxmlformats.org/spreadsheetml/2006/main" count="220" uniqueCount="18">
  <si>
    <t>Time scheme</t>
  </si>
  <si>
    <t>Timestep</t>
  </si>
  <si>
    <t>Euler</t>
  </si>
  <si>
    <t>ABS2</t>
  </si>
  <si>
    <t>Midpoint</t>
  </si>
  <si>
    <t>RK2</t>
  </si>
  <si>
    <t>Very Fine</t>
  </si>
  <si>
    <t>Result</t>
  </si>
  <si>
    <t>Failed</t>
  </si>
  <si>
    <t>Fine</t>
  </si>
  <si>
    <t>Medium</t>
  </si>
  <si>
    <t>Coarse</t>
  </si>
  <si>
    <t>Very Coarse</t>
  </si>
  <si>
    <t># Cell</t>
  </si>
  <si>
    <t>h</t>
  </si>
  <si>
    <t>dt</t>
  </si>
  <si>
    <t>Highest dt that all 2nd order schemes converged in</t>
  </si>
  <si>
    <t>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</si>
</sst>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1" fontId="0" fillId="0" borderId="0" xfId="0" applyNumberFormat="1"/>
    <xf numFmtId="0" fontId="0" fillId="0" borderId="11" xfId="0" applyBorder="1"/>
    <xf numFmtId="11" fontId="0" fillId="0" borderId="12" xfId="0" applyNumberFormat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11" fontId="0" fillId="2" borderId="7" xfId="0" applyNumberFormat="1" applyFill="1" applyBorder="1"/>
    <xf numFmtId="11" fontId="0" fillId="2" borderId="1" xfId="0" applyNumberFormat="1" applyFill="1" applyBorder="1"/>
    <xf numFmtId="11" fontId="0" fillId="2" borderId="12" xfId="0" applyNumberFormat="1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3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14" xfId="0" applyFill="1" applyBorder="1"/>
    <xf numFmtId="0" fontId="0" fillId="2" borderId="16" xfId="0" applyFill="1" applyBorder="1"/>
    <xf numFmtId="11" fontId="0" fillId="2" borderId="15" xfId="0" applyNumberFormat="1" applyFill="1" applyBorder="1"/>
    <xf numFmtId="0" fontId="0" fillId="4" borderId="17" xfId="0" applyFill="1" applyBorder="1"/>
    <xf numFmtId="11" fontId="0" fillId="2" borderId="2" xfId="0" applyNumberFormat="1" applyFill="1" applyBorder="1"/>
    <xf numFmtId="0" fontId="0" fillId="2" borderId="18" xfId="0" applyFill="1" applyBorder="1"/>
    <xf numFmtId="11" fontId="0" fillId="2" borderId="19" xfId="0" applyNumberFormat="1" applyFill="1" applyBorder="1"/>
    <xf numFmtId="11" fontId="0" fillId="2" borderId="10" xfId="0" applyNumberFormat="1" applyFill="1" applyBorder="1"/>
    <xf numFmtId="11" fontId="0" fillId="2" borderId="13" xfId="0" applyNumberFormat="1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1" fontId="0" fillId="0" borderId="13" xfId="0" applyNumberFormat="1" applyBorder="1"/>
    <xf numFmtId="0" fontId="0" fillId="6" borderId="9" xfId="0" applyFill="1" applyBorder="1"/>
    <xf numFmtId="11" fontId="0" fillId="6" borderId="7" xfId="0" applyNumberFormat="1" applyFill="1" applyBorder="1"/>
    <xf numFmtId="11" fontId="0" fillId="6" borderId="10" xfId="0" applyNumberFormat="1" applyFill="1" applyBorder="1"/>
    <xf numFmtId="0" fontId="0" fillId="6" borderId="11" xfId="0" applyFill="1" applyBorder="1"/>
    <xf numFmtId="11" fontId="0" fillId="6" borderId="12" xfId="0" applyNumberFormat="1" applyFill="1" applyBorder="1"/>
    <xf numFmtId="11" fontId="0" fillId="6" borderId="13" xfId="0" applyNumberFormat="1" applyFill="1" applyBorder="1"/>
    <xf numFmtId="0" fontId="0" fillId="5" borderId="20" xfId="0" applyFill="1" applyBorder="1" applyAlignment="1">
      <alignment horizontal="center" wrapText="1"/>
    </xf>
    <xf numFmtId="0" fontId="0" fillId="5" borderId="21" xfId="0" applyFill="1" applyBorder="1" applyAlignment="1">
      <alignment horizontal="center" wrapText="1"/>
    </xf>
    <xf numFmtId="0" fontId="0" fillId="5" borderId="22" xfId="0" applyFill="1" applyBorder="1" applyAlignment="1">
      <alignment horizont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ABS2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Sheet1!$R$10:$S$10</c:f>
              <c:numCache>
                <c:formatCode>General</c:formatCode>
                <c:ptCount val="2"/>
                <c:pt idx="0">
                  <c:v>0.39833148579531846</c:v>
                </c:pt>
                <c:pt idx="1">
                  <c:v>0.79163909484037642</c:v>
                </c:pt>
              </c:numCache>
            </c:numRef>
          </c:xVal>
          <c:yVal>
            <c:numRef>
              <c:f>Sheet1!$R$11:$S$11</c:f>
              <c:numCache>
                <c:formatCode>0.00E+00</c:formatCode>
                <c:ptCount val="2"/>
                <c:pt idx="0">
                  <c:v>0.368751034837</c:v>
                </c:pt>
                <c:pt idx="1">
                  <c:v>0.78462276092579997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E-4AA1-9DC3-CCB5AD875FA7}"/>
            </c:ext>
          </c:extLst>
        </c:ser>
        <c:ser>
          <c:idx val="1"/>
          <c:order val="1"/>
          <c:tx>
            <c:v>Midpoint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Sheet1!$R$10:$S$10</c:f>
              <c:numCache>
                <c:formatCode>General</c:formatCode>
                <c:ptCount val="2"/>
                <c:pt idx="0">
                  <c:v>0.39833148579531846</c:v>
                </c:pt>
                <c:pt idx="1">
                  <c:v>0.79163909484037642</c:v>
                </c:pt>
              </c:numCache>
            </c:numRef>
          </c:xVal>
          <c:yVal>
            <c:numRef>
              <c:f>Sheet1!$R$12:$S$12</c:f>
              <c:numCache>
                <c:formatCode>0.00E+00</c:formatCode>
                <c:ptCount val="2"/>
                <c:pt idx="0">
                  <c:v>0.3688323959357</c:v>
                </c:pt>
                <c:pt idx="1">
                  <c:v>0.78467936046109998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7E-4AA1-9DC3-CCB5AD875FA7}"/>
            </c:ext>
          </c:extLst>
        </c:ser>
        <c:ser>
          <c:idx val="2"/>
          <c:order val="2"/>
          <c:tx>
            <c:v>RK2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Sheet1!$R$10:$S$10</c:f>
              <c:numCache>
                <c:formatCode>General</c:formatCode>
                <c:ptCount val="2"/>
                <c:pt idx="0">
                  <c:v>0.39833148579531846</c:v>
                </c:pt>
                <c:pt idx="1">
                  <c:v>0.79163909484037642</c:v>
                </c:pt>
              </c:numCache>
            </c:numRef>
          </c:xVal>
          <c:yVal>
            <c:numRef>
              <c:f>Sheet1!$R$13:$S$13</c:f>
              <c:numCache>
                <c:formatCode>0.00E+00</c:formatCode>
                <c:ptCount val="2"/>
                <c:pt idx="0">
                  <c:v>0.3688323959357</c:v>
                </c:pt>
                <c:pt idx="1">
                  <c:v>0.78467936046109998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7E-4AA1-9DC3-CCB5AD875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023056"/>
        <c:axId val="812808048"/>
      </c:scatterChart>
      <c:valAx>
        <c:axId val="8670230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08048"/>
        <c:crosses val="autoZero"/>
        <c:crossBetween val="midCat"/>
      </c:valAx>
      <c:valAx>
        <c:axId val="812808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2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314325</xdr:colOff>
      <xdr:row>13</xdr:row>
      <xdr:rowOff>66675</xdr:rowOff>
    </xdr:from>
    <xdr:to>
      <xdr:col>24</xdr:col>
      <xdr:colOff>457200</xdr:colOff>
      <xdr:row>27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1C2A67-51F2-4956-BFBC-9460A4CF9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877D-9F90-46A7-BA93-C037B1C82F53}">
  <dimension ref="A1:V52"/>
  <sheetViews>
    <sheetView tabSelected="1" topLeftCell="A19" workbookViewId="0">
      <selection activeCell="D21" sqref="D21"/>
    </sheetView>
  </sheetViews>
  <sheetFormatPr defaultRowHeight="15" x14ac:dyDescent="0.25"/>
  <cols>
    <col min="1" max="1" width="12.7109375" bestFit="1" customWidth="1"/>
    <col min="2" max="2" width="9.42578125" customWidth="1"/>
    <col min="18" max="18" width="11.5703125" bestFit="1" customWidth="1"/>
  </cols>
  <sheetData>
    <row r="1" spans="1:22" ht="30.75" thickBot="1" x14ac:dyDescent="0.3">
      <c r="A1" s="44" t="s">
        <v>6</v>
      </c>
      <c r="B1" s="45"/>
      <c r="C1" s="46"/>
      <c r="D1" s="44" t="s">
        <v>9</v>
      </c>
      <c r="E1" s="45"/>
      <c r="F1" s="46"/>
      <c r="G1" s="44" t="s">
        <v>10</v>
      </c>
      <c r="H1" s="45"/>
      <c r="I1" s="46"/>
      <c r="J1" s="44" t="s">
        <v>11</v>
      </c>
      <c r="K1" s="45"/>
      <c r="L1" s="46"/>
      <c r="M1" s="44" t="s">
        <v>12</v>
      </c>
      <c r="N1" s="45"/>
      <c r="O1" s="46"/>
      <c r="Q1" s="32"/>
      <c r="R1" s="33" t="s">
        <v>6</v>
      </c>
      <c r="S1" s="33" t="s">
        <v>9</v>
      </c>
      <c r="T1" s="33" t="s">
        <v>10</v>
      </c>
      <c r="U1" s="33" t="s">
        <v>11</v>
      </c>
      <c r="V1" s="34" t="s">
        <v>12</v>
      </c>
    </row>
    <row r="2" spans="1:22" ht="15.75" thickBot="1" x14ac:dyDescent="0.3">
      <c r="A2" s="4" t="s">
        <v>0</v>
      </c>
      <c r="B2" s="5" t="s">
        <v>1</v>
      </c>
      <c r="C2" s="6" t="s">
        <v>7</v>
      </c>
      <c r="D2" s="4" t="s">
        <v>0</v>
      </c>
      <c r="E2" s="5" t="s">
        <v>1</v>
      </c>
      <c r="F2" s="6" t="s">
        <v>7</v>
      </c>
      <c r="G2" s="4" t="s">
        <v>0</v>
      </c>
      <c r="H2" s="5" t="s">
        <v>1</v>
      </c>
      <c r="I2" s="6" t="s">
        <v>7</v>
      </c>
      <c r="J2" s="4" t="s">
        <v>0</v>
      </c>
      <c r="K2" s="5" t="s">
        <v>1</v>
      </c>
      <c r="L2" s="6" t="s">
        <v>7</v>
      </c>
      <c r="M2" s="4" t="s">
        <v>0</v>
      </c>
      <c r="N2" s="5" t="s">
        <v>1</v>
      </c>
      <c r="O2" s="6" t="s">
        <v>7</v>
      </c>
      <c r="Q2" s="35" t="s">
        <v>13</v>
      </c>
      <c r="R2" s="31">
        <v>8168</v>
      </c>
      <c r="S2" s="31">
        <v>2068</v>
      </c>
      <c r="T2" s="31">
        <v>494</v>
      </c>
      <c r="U2" s="31">
        <v>136</v>
      </c>
      <c r="V2" s="36">
        <v>32</v>
      </c>
    </row>
    <row r="3" spans="1:22" ht="15.75" thickBot="1" x14ac:dyDescent="0.3">
      <c r="A3" s="13" t="s">
        <v>2</v>
      </c>
      <c r="B3" s="7">
        <v>2.5000000000000001E-5</v>
      </c>
      <c r="C3" s="10" t="s">
        <v>8</v>
      </c>
      <c r="D3" s="13" t="s">
        <v>2</v>
      </c>
      <c r="E3" s="7">
        <v>1.0000000000000001E-5</v>
      </c>
      <c r="F3" s="10" t="s">
        <v>8</v>
      </c>
      <c r="G3" s="13" t="s">
        <v>2</v>
      </c>
      <c r="H3" s="7"/>
      <c r="I3" s="10"/>
      <c r="J3" s="13" t="s">
        <v>2</v>
      </c>
      <c r="K3" s="7"/>
      <c r="L3" s="10"/>
      <c r="M3" s="13" t="s">
        <v>2</v>
      </c>
      <c r="N3" s="7"/>
      <c r="O3" s="10"/>
      <c r="Q3" s="35" t="s">
        <v>14</v>
      </c>
      <c r="R3" s="31">
        <f>36/SQRT(R$2)</f>
        <v>0.39833148579531846</v>
      </c>
      <c r="S3" s="31">
        <f t="shared" ref="S3:V3" si="0">36/SQRT(S$2)</f>
        <v>0.79163909484037642</v>
      </c>
      <c r="T3" s="31">
        <f t="shared" si="0"/>
        <v>1.6197165743970512</v>
      </c>
      <c r="U3" s="31">
        <f t="shared" si="0"/>
        <v>3.0869745325651587</v>
      </c>
      <c r="V3" s="36">
        <f t="shared" si="0"/>
        <v>6.3639610306789276</v>
      </c>
    </row>
    <row r="4" spans="1:22" ht="15.75" thickBot="1" x14ac:dyDescent="0.3">
      <c r="A4" s="14" t="s">
        <v>3</v>
      </c>
      <c r="B4" s="8">
        <v>2.5000000000000001E-5</v>
      </c>
      <c r="C4" s="11" t="s">
        <v>8</v>
      </c>
      <c r="D4" s="14" t="s">
        <v>3</v>
      </c>
      <c r="E4" s="7">
        <v>1.0000000000000001E-5</v>
      </c>
      <c r="F4" s="23">
        <v>0.78462276092579997</v>
      </c>
      <c r="G4" s="14" t="s">
        <v>3</v>
      </c>
      <c r="H4" s="8">
        <v>2.05E-5</v>
      </c>
      <c r="I4" s="23"/>
      <c r="J4" s="14" t="s">
        <v>3</v>
      </c>
      <c r="K4" s="8">
        <v>3.8994720607976119E-4</v>
      </c>
      <c r="L4" s="23">
        <v>0.74336359307709998</v>
      </c>
      <c r="M4" s="14" t="s">
        <v>3</v>
      </c>
      <c r="N4" s="8">
        <v>8.0389675954067625E-4</v>
      </c>
      <c r="O4" s="23">
        <v>0.368751034837</v>
      </c>
      <c r="Q4" s="2" t="s">
        <v>15</v>
      </c>
      <c r="R4" s="3"/>
      <c r="S4" s="3">
        <v>1E-4</v>
      </c>
      <c r="T4" s="3">
        <f>(T3/S3)*S4</f>
        <v>2.0460290364053405E-4</v>
      </c>
      <c r="U4" s="3">
        <f>(U3/T3)*T4</f>
        <v>3.8994720607976119E-4</v>
      </c>
      <c r="V4" s="37">
        <f t="shared" ref="V4" si="1">(V3/U3)*U4</f>
        <v>8.0389675954067625E-4</v>
      </c>
    </row>
    <row r="5" spans="1:22" x14ac:dyDescent="0.25">
      <c r="A5" s="14" t="s">
        <v>4</v>
      </c>
      <c r="B5" s="8">
        <v>2.5000000000000001E-5</v>
      </c>
      <c r="C5" s="11" t="s">
        <v>8</v>
      </c>
      <c r="D5" s="14" t="s">
        <v>4</v>
      </c>
      <c r="E5" s="7">
        <v>1.0000000000000001E-5</v>
      </c>
      <c r="F5" s="23">
        <v>0.78467936046109998</v>
      </c>
      <c r="G5" s="14" t="s">
        <v>4</v>
      </c>
      <c r="H5" s="8">
        <v>2.05E-5</v>
      </c>
      <c r="I5" s="11"/>
      <c r="J5" s="14" t="s">
        <v>4</v>
      </c>
      <c r="K5" s="8">
        <v>3.8994720607976119E-4</v>
      </c>
      <c r="L5" s="23">
        <v>0.74339544838100002</v>
      </c>
      <c r="M5" s="14" t="s">
        <v>4</v>
      </c>
      <c r="N5" s="8">
        <f>N4</f>
        <v>8.0389675954067625E-4</v>
      </c>
      <c r="O5" s="23">
        <v>0.3688323959357</v>
      </c>
      <c r="S5" t="s">
        <v>16</v>
      </c>
    </row>
    <row r="6" spans="1:22" ht="15.75" thickBot="1" x14ac:dyDescent="0.3">
      <c r="A6" s="15" t="s">
        <v>5</v>
      </c>
      <c r="B6" s="9">
        <v>2.5000000000000001E-5</v>
      </c>
      <c r="C6" s="12" t="s">
        <v>8</v>
      </c>
      <c r="D6" s="15" t="s">
        <v>5</v>
      </c>
      <c r="E6" s="9">
        <v>1.0000000000000001E-5</v>
      </c>
      <c r="F6" s="24">
        <v>0.78467936046109998</v>
      </c>
      <c r="G6" s="15" t="s">
        <v>5</v>
      </c>
      <c r="H6" s="9">
        <v>2.05E-5</v>
      </c>
      <c r="I6" s="12"/>
      <c r="J6" s="15" t="s">
        <v>5</v>
      </c>
      <c r="K6" s="9">
        <f>K5</f>
        <v>3.8994720607976119E-4</v>
      </c>
      <c r="L6" s="24">
        <v>0.74339544838100002</v>
      </c>
      <c r="M6" s="15" t="s">
        <v>5</v>
      </c>
      <c r="N6" s="9">
        <v>8.0389675954067625E-4</v>
      </c>
      <c r="O6" s="24">
        <v>0.3688323959357</v>
      </c>
    </row>
    <row r="7" spans="1:22" ht="15.75" thickBot="1" x14ac:dyDescent="0.3">
      <c r="A7" s="13" t="s">
        <v>2</v>
      </c>
      <c r="B7" s="7">
        <v>1.0000000000000001E-5</v>
      </c>
      <c r="C7" s="10" t="s">
        <v>8</v>
      </c>
      <c r="D7" s="13" t="s">
        <v>2</v>
      </c>
      <c r="E7" s="7">
        <v>1E-4</v>
      </c>
      <c r="F7" s="10" t="s">
        <v>8</v>
      </c>
      <c r="G7" s="13" t="s">
        <v>2</v>
      </c>
      <c r="H7" s="7"/>
      <c r="I7" s="10"/>
      <c r="J7" s="13" t="s">
        <v>2</v>
      </c>
      <c r="K7" s="7"/>
      <c r="L7" s="10"/>
      <c r="M7" s="13" t="s">
        <v>2</v>
      </c>
      <c r="N7" s="7"/>
      <c r="O7" s="10"/>
    </row>
    <row r="8" spans="1:22" ht="15.75" thickBot="1" x14ac:dyDescent="0.3">
      <c r="A8" s="14" t="s">
        <v>3</v>
      </c>
      <c r="B8" s="8">
        <v>1.0000000000000001E-5</v>
      </c>
      <c r="C8" s="11" t="s">
        <v>8</v>
      </c>
      <c r="D8" s="14" t="s">
        <v>3</v>
      </c>
      <c r="E8" s="7">
        <v>1E-4</v>
      </c>
      <c r="F8" s="23">
        <v>0.78440145403179995</v>
      </c>
      <c r="G8" s="14" t="s">
        <v>3</v>
      </c>
      <c r="H8" s="8"/>
      <c r="I8" s="11"/>
      <c r="J8" s="14" t="s">
        <v>3</v>
      </c>
      <c r="K8" s="8"/>
      <c r="L8" s="11"/>
      <c r="M8" s="14" t="s">
        <v>3</v>
      </c>
      <c r="N8" s="8"/>
      <c r="O8" s="11"/>
    </row>
    <row r="9" spans="1:22" ht="15.75" thickBot="1" x14ac:dyDescent="0.3">
      <c r="A9" s="14" t="s">
        <v>4</v>
      </c>
      <c r="B9" s="8">
        <v>1.0000000000000001E-5</v>
      </c>
      <c r="C9" s="11" t="s">
        <v>8</v>
      </c>
      <c r="D9" s="14" t="s">
        <v>4</v>
      </c>
      <c r="E9" s="7">
        <v>1E-4</v>
      </c>
      <c r="F9" s="23">
        <v>0.78496752034880002</v>
      </c>
      <c r="G9" s="14" t="s">
        <v>4</v>
      </c>
      <c r="H9" s="8"/>
      <c r="I9" s="11"/>
      <c r="J9" s="14" t="s">
        <v>4</v>
      </c>
      <c r="K9" s="8"/>
      <c r="L9" s="11"/>
      <c r="M9" s="14" t="s">
        <v>4</v>
      </c>
      <c r="N9" s="8"/>
      <c r="O9" s="11"/>
      <c r="T9" s="3"/>
    </row>
    <row r="10" spans="1:22" ht="15.75" thickBot="1" x14ac:dyDescent="0.3">
      <c r="A10" s="15" t="s">
        <v>5</v>
      </c>
      <c r="B10" s="9">
        <v>1.0000000000000001E-5</v>
      </c>
      <c r="C10" s="12" t="s">
        <v>8</v>
      </c>
      <c r="D10" s="15" t="s">
        <v>5</v>
      </c>
      <c r="E10" s="9">
        <v>1E-4</v>
      </c>
      <c r="F10" s="24">
        <v>0.78496752034880002</v>
      </c>
      <c r="G10" s="15" t="s">
        <v>5</v>
      </c>
      <c r="H10" s="9"/>
      <c r="I10" s="12"/>
      <c r="J10" s="15" t="s">
        <v>5</v>
      </c>
      <c r="K10" s="9"/>
      <c r="L10" s="12"/>
      <c r="M10" s="15" t="s">
        <v>5</v>
      </c>
      <c r="N10" s="9"/>
      <c r="O10" s="12"/>
      <c r="R10" s="36">
        <f t="shared" ref="R10" si="2">36/SQRT(R$2)</f>
        <v>0.39833148579531846</v>
      </c>
      <c r="S10" s="31">
        <f t="shared" ref="S10" si="3">36/SQRT(S$2)</f>
        <v>0.79163909484037642</v>
      </c>
    </row>
    <row r="11" spans="1:22" ht="15.75" thickBot="1" x14ac:dyDescent="0.3">
      <c r="A11" s="13" t="s">
        <v>2</v>
      </c>
      <c r="B11" s="7">
        <v>5.0000000000000004E-6</v>
      </c>
      <c r="C11" s="10" t="s">
        <v>8</v>
      </c>
      <c r="D11" s="13" t="s">
        <v>2</v>
      </c>
      <c r="E11" s="7">
        <v>1E-3</v>
      </c>
      <c r="F11" s="10" t="s">
        <v>8</v>
      </c>
      <c r="G11" s="13" t="s">
        <v>2</v>
      </c>
      <c r="H11" s="7"/>
      <c r="I11" s="10"/>
      <c r="J11" s="13" t="s">
        <v>2</v>
      </c>
      <c r="K11" s="7"/>
      <c r="L11" s="10"/>
      <c r="M11" s="13" t="s">
        <v>2</v>
      </c>
      <c r="N11" s="7"/>
      <c r="O11" s="10"/>
      <c r="R11" s="23">
        <v>0.368751034837</v>
      </c>
      <c r="S11" s="23">
        <v>0.78462276092579997</v>
      </c>
    </row>
    <row r="12" spans="1:22" ht="15.75" thickBot="1" x14ac:dyDescent="0.3">
      <c r="A12" s="14" t="s">
        <v>3</v>
      </c>
      <c r="B12" s="8">
        <v>5.0000000000000004E-6</v>
      </c>
      <c r="C12" s="11" t="s">
        <v>8</v>
      </c>
      <c r="D12" s="38" t="s">
        <v>3</v>
      </c>
      <c r="E12" s="39">
        <v>1E-3</v>
      </c>
      <c r="F12" s="40">
        <v>0.78236465895789997</v>
      </c>
      <c r="G12" s="14" t="s">
        <v>3</v>
      </c>
      <c r="H12" s="8">
        <f>$T$4</f>
        <v>2.0460290364053405E-4</v>
      </c>
      <c r="I12" s="23">
        <v>0.77915924519680002</v>
      </c>
      <c r="J12" s="14" t="s">
        <v>3</v>
      </c>
      <c r="K12" s="8">
        <f>$U$4</f>
        <v>3.8994720607976119E-4</v>
      </c>
      <c r="L12" s="11"/>
      <c r="M12" s="14" t="s">
        <v>3</v>
      </c>
      <c r="N12" s="8">
        <f>$V$4</f>
        <v>8.0389675954067625E-4</v>
      </c>
      <c r="O12" s="11"/>
      <c r="R12" s="23">
        <v>0.3688323959357</v>
      </c>
      <c r="S12" s="23">
        <v>0.78467936046109998</v>
      </c>
    </row>
    <row r="13" spans="1:22" ht="15.75" thickBot="1" x14ac:dyDescent="0.3">
      <c r="A13" s="14" t="s">
        <v>4</v>
      </c>
      <c r="B13" s="8">
        <v>5.0000000000000004E-6</v>
      </c>
      <c r="C13" s="11" t="s">
        <v>8</v>
      </c>
      <c r="D13" s="38" t="s">
        <v>4</v>
      </c>
      <c r="E13" s="39">
        <v>1E-3</v>
      </c>
      <c r="F13" s="40">
        <v>0.78798620403209996</v>
      </c>
      <c r="G13" s="14" t="s">
        <v>4</v>
      </c>
      <c r="H13" s="8">
        <f t="shared" ref="H13:H14" si="4">$T$4</f>
        <v>2.0460290364053405E-4</v>
      </c>
      <c r="I13" s="23">
        <v>0.7886638737435</v>
      </c>
      <c r="J13" s="14" t="s">
        <v>4</v>
      </c>
      <c r="K13" s="8">
        <f t="shared" ref="K13:K14" si="5">$U$4</f>
        <v>3.8994720607976119E-4</v>
      </c>
      <c r="L13" s="11"/>
      <c r="M13" s="14" t="s">
        <v>4</v>
      </c>
      <c r="N13" s="8">
        <f t="shared" ref="N13:N14" si="6">$V$4</f>
        <v>8.0389675954067625E-4</v>
      </c>
      <c r="O13" s="11"/>
      <c r="R13" s="24">
        <v>0.3688323959357</v>
      </c>
      <c r="S13" s="24">
        <v>0.78467936046109998</v>
      </c>
    </row>
    <row r="14" spans="1:22" ht="15.75" thickBot="1" x14ac:dyDescent="0.3">
      <c r="A14" s="15" t="s">
        <v>5</v>
      </c>
      <c r="B14" s="9">
        <v>5.0000000000000004E-6</v>
      </c>
      <c r="C14" s="12" t="s">
        <v>8</v>
      </c>
      <c r="D14" s="41" t="s">
        <v>5</v>
      </c>
      <c r="E14" s="42">
        <v>1E-3</v>
      </c>
      <c r="F14" s="43">
        <v>0.78798620403209996</v>
      </c>
      <c r="G14" s="15" t="s">
        <v>5</v>
      </c>
      <c r="H14" s="9">
        <f t="shared" si="4"/>
        <v>2.0460290364053405E-4</v>
      </c>
      <c r="I14" s="24">
        <v>0.7886638737435</v>
      </c>
      <c r="J14" s="15" t="s">
        <v>5</v>
      </c>
      <c r="K14" s="9">
        <f t="shared" si="5"/>
        <v>3.8994720607976119E-4</v>
      </c>
      <c r="L14" s="24">
        <v>0.78872563556889996</v>
      </c>
      <c r="M14" s="15" t="s">
        <v>5</v>
      </c>
      <c r="N14" s="9">
        <f t="shared" si="6"/>
        <v>8.0389675954067625E-4</v>
      </c>
      <c r="O14" s="12"/>
    </row>
    <row r="15" spans="1:22" ht="15.75" thickBot="1" x14ac:dyDescent="0.3">
      <c r="A15" s="13" t="s">
        <v>2</v>
      </c>
      <c r="B15" s="7">
        <v>2.5000000000000002E-6</v>
      </c>
      <c r="C15" s="10" t="s">
        <v>8</v>
      </c>
      <c r="D15" s="13" t="s">
        <v>2</v>
      </c>
      <c r="E15" s="7">
        <v>0.01</v>
      </c>
      <c r="F15" s="10" t="s">
        <v>8</v>
      </c>
      <c r="G15" s="13" t="s">
        <v>2</v>
      </c>
      <c r="H15" s="7"/>
      <c r="I15" s="10"/>
      <c r="J15" s="13" t="s">
        <v>2</v>
      </c>
      <c r="K15" s="7"/>
      <c r="L15" s="10"/>
      <c r="M15" s="13" t="s">
        <v>2</v>
      </c>
      <c r="N15" s="7"/>
      <c r="O15" s="10"/>
    </row>
    <row r="16" spans="1:22" ht="15.75" thickBot="1" x14ac:dyDescent="0.3">
      <c r="A16" s="14" t="s">
        <v>3</v>
      </c>
      <c r="B16" s="8">
        <v>2.5000000000000002E-6</v>
      </c>
      <c r="C16" s="11" t="s">
        <v>8</v>
      </c>
      <c r="D16" s="14" t="s">
        <v>3</v>
      </c>
      <c r="E16" s="7">
        <v>0.01</v>
      </c>
      <c r="F16" s="11" t="s">
        <v>8</v>
      </c>
      <c r="G16" s="14" t="s">
        <v>3</v>
      </c>
      <c r="H16" s="8"/>
      <c r="I16" s="11"/>
      <c r="J16" s="14" t="s">
        <v>3</v>
      </c>
      <c r="K16" s="8"/>
      <c r="L16" s="11"/>
      <c r="M16" s="14" t="s">
        <v>3</v>
      </c>
      <c r="N16" s="8"/>
      <c r="O16" s="11"/>
    </row>
    <row r="17" spans="1:15" x14ac:dyDescent="0.25">
      <c r="A17" s="14" t="s">
        <v>4</v>
      </c>
      <c r="B17" s="8">
        <v>2.5000000000000002E-6</v>
      </c>
      <c r="C17" s="11" t="s">
        <v>8</v>
      </c>
      <c r="D17" s="14" t="s">
        <v>4</v>
      </c>
      <c r="E17" s="7">
        <v>0.01</v>
      </c>
      <c r="F17" s="23">
        <v>0.80481124209809995</v>
      </c>
      <c r="G17" s="14" t="s">
        <v>4</v>
      </c>
      <c r="H17" s="8"/>
      <c r="I17" s="11"/>
      <c r="J17" s="14" t="s">
        <v>4</v>
      </c>
      <c r="K17" s="8"/>
      <c r="L17" s="11"/>
      <c r="M17" s="14" t="s">
        <v>4</v>
      </c>
      <c r="N17" s="8"/>
      <c r="O17" s="11"/>
    </row>
    <row r="18" spans="1:15" ht="15.75" thickBot="1" x14ac:dyDescent="0.3">
      <c r="A18" s="15" t="s">
        <v>5</v>
      </c>
      <c r="B18" s="9">
        <v>2.5000000000000002E-6</v>
      </c>
      <c r="C18" s="12" t="s">
        <v>8</v>
      </c>
      <c r="D18" s="15" t="s">
        <v>5</v>
      </c>
      <c r="E18" s="9">
        <v>0.01</v>
      </c>
      <c r="F18" s="24">
        <v>0.80481124209809995</v>
      </c>
      <c r="G18" s="15" t="s">
        <v>5</v>
      </c>
      <c r="H18" s="9"/>
      <c r="I18" s="12"/>
      <c r="J18" s="15" t="s">
        <v>5</v>
      </c>
      <c r="K18" s="9"/>
      <c r="L18" s="12"/>
      <c r="M18" s="15" t="s">
        <v>5</v>
      </c>
      <c r="N18" s="9"/>
      <c r="O18" s="12"/>
    </row>
    <row r="19" spans="1:15" ht="15.75" thickBot="1" x14ac:dyDescent="0.3">
      <c r="A19" s="13" t="s">
        <v>2</v>
      </c>
      <c r="B19" s="7">
        <v>9.9999999999999995E-7</v>
      </c>
      <c r="C19" s="10" t="s">
        <v>8</v>
      </c>
      <c r="D19" s="13" t="s">
        <v>2</v>
      </c>
      <c r="E19" s="7">
        <v>0.1</v>
      </c>
      <c r="F19" s="10"/>
      <c r="G19" s="13" t="s">
        <v>2</v>
      </c>
      <c r="H19" s="7"/>
      <c r="I19" s="10"/>
      <c r="J19" s="13" t="s">
        <v>2</v>
      </c>
      <c r="K19" s="7"/>
      <c r="L19" s="10"/>
      <c r="M19" s="13" t="s">
        <v>2</v>
      </c>
      <c r="N19" s="7"/>
      <c r="O19" s="10"/>
    </row>
    <row r="20" spans="1:15" ht="15.75" thickBot="1" x14ac:dyDescent="0.3">
      <c r="A20" s="14" t="s">
        <v>3</v>
      </c>
      <c r="B20" s="8">
        <v>9.9999999999999995E-7</v>
      </c>
      <c r="C20" s="11" t="s">
        <v>8</v>
      </c>
      <c r="D20" s="14" t="s">
        <v>3</v>
      </c>
      <c r="E20" s="7">
        <v>0.1</v>
      </c>
      <c r="F20" s="11"/>
      <c r="G20" s="14" t="s">
        <v>3</v>
      </c>
      <c r="H20" s="8"/>
      <c r="I20" s="11"/>
      <c r="J20" s="14" t="s">
        <v>3</v>
      </c>
      <c r="K20" s="8"/>
      <c r="L20" s="11"/>
      <c r="M20" s="14" t="s">
        <v>3</v>
      </c>
      <c r="N20" s="8"/>
      <c r="O20" s="11"/>
    </row>
    <row r="21" spans="1:15" x14ac:dyDescent="0.25">
      <c r="A21" s="14" t="s">
        <v>4</v>
      </c>
      <c r="B21" s="8">
        <v>9.9999999999999995E-7</v>
      </c>
      <c r="C21" s="11" t="s">
        <v>8</v>
      </c>
      <c r="D21" s="14" t="s">
        <v>4</v>
      </c>
      <c r="E21" s="7">
        <v>0.1</v>
      </c>
      <c r="F21" s="11"/>
      <c r="G21" s="14" t="s">
        <v>4</v>
      </c>
      <c r="H21" s="8"/>
      <c r="I21" s="11"/>
      <c r="J21" s="14" t="s">
        <v>4</v>
      </c>
      <c r="K21" s="8"/>
      <c r="L21" s="11"/>
      <c r="M21" s="14" t="s">
        <v>4</v>
      </c>
      <c r="N21" s="8"/>
      <c r="O21" s="11"/>
    </row>
    <row r="22" spans="1:15" ht="15.75" thickBot="1" x14ac:dyDescent="0.3">
      <c r="A22" s="16" t="s">
        <v>5</v>
      </c>
      <c r="B22" s="18">
        <v>9.9999999999999995E-7</v>
      </c>
      <c r="C22" s="17" t="s">
        <v>8</v>
      </c>
      <c r="D22" s="16" t="s">
        <v>5</v>
      </c>
      <c r="E22" s="18">
        <v>0.1</v>
      </c>
      <c r="F22" s="17" t="s">
        <v>8</v>
      </c>
      <c r="G22" s="16" t="s">
        <v>5</v>
      </c>
      <c r="H22" s="18"/>
      <c r="I22" s="17"/>
      <c r="J22" s="16" t="s">
        <v>5</v>
      </c>
      <c r="K22" s="18"/>
      <c r="L22" s="17"/>
      <c r="M22" s="16" t="s">
        <v>5</v>
      </c>
      <c r="N22" s="18"/>
      <c r="O22" s="17"/>
    </row>
    <row r="23" spans="1:15" x14ac:dyDescent="0.25">
      <c r="A23" s="13" t="s">
        <v>2</v>
      </c>
      <c r="B23" s="7">
        <v>7.5000000000000002E-7</v>
      </c>
      <c r="C23" s="25" t="s">
        <v>8</v>
      </c>
      <c r="D23" s="13" t="s">
        <v>2</v>
      </c>
      <c r="E23" s="7"/>
      <c r="F23" s="10"/>
      <c r="G23" s="28" t="s">
        <v>2</v>
      </c>
      <c r="H23" s="7"/>
      <c r="I23" s="10"/>
      <c r="J23" s="13" t="s">
        <v>2</v>
      </c>
      <c r="K23" s="7"/>
      <c r="L23" s="10"/>
      <c r="M23" s="13" t="s">
        <v>2</v>
      </c>
      <c r="N23" s="7"/>
      <c r="O23" s="10"/>
    </row>
    <row r="24" spans="1:15" x14ac:dyDescent="0.25">
      <c r="A24" s="14" t="s">
        <v>3</v>
      </c>
      <c r="B24" s="8">
        <v>7.5000000000000002E-7</v>
      </c>
      <c r="C24" s="26" t="s">
        <v>8</v>
      </c>
      <c r="D24" s="14" t="s">
        <v>3</v>
      </c>
      <c r="E24" s="8"/>
      <c r="F24" s="11"/>
      <c r="G24" s="29" t="s">
        <v>3</v>
      </c>
      <c r="H24" s="8"/>
      <c r="I24" s="11"/>
      <c r="J24" s="14" t="s">
        <v>3</v>
      </c>
      <c r="K24" s="8"/>
      <c r="L24" s="11"/>
      <c r="M24" s="14" t="s">
        <v>3</v>
      </c>
      <c r="N24" s="8"/>
      <c r="O24" s="11"/>
    </row>
    <row r="25" spans="1:15" x14ac:dyDescent="0.25">
      <c r="A25" s="14" t="s">
        <v>4</v>
      </c>
      <c r="B25" s="8">
        <v>7.5000000000000002E-7</v>
      </c>
      <c r="C25" s="26"/>
      <c r="D25" s="14" t="s">
        <v>4</v>
      </c>
      <c r="E25" s="8"/>
      <c r="F25" s="11"/>
      <c r="G25" s="29" t="s">
        <v>4</v>
      </c>
      <c r="H25" s="8"/>
      <c r="I25" s="11"/>
      <c r="J25" s="14" t="s">
        <v>4</v>
      </c>
      <c r="K25" s="8"/>
      <c r="L25" s="11"/>
      <c r="M25" s="14" t="s">
        <v>4</v>
      </c>
      <c r="N25" s="8"/>
      <c r="O25" s="11"/>
    </row>
    <row r="26" spans="1:15" ht="15.75" thickBot="1" x14ac:dyDescent="0.3">
      <c r="A26" s="15" t="s">
        <v>5</v>
      </c>
      <c r="B26" s="9">
        <v>7.5000000000000002E-7</v>
      </c>
      <c r="C26" s="27"/>
      <c r="D26" s="15" t="s">
        <v>5</v>
      </c>
      <c r="E26" s="9"/>
      <c r="F26" s="12"/>
      <c r="G26" s="30" t="s">
        <v>5</v>
      </c>
      <c r="H26" s="9"/>
      <c r="I26" s="12"/>
      <c r="J26" s="15" t="s">
        <v>5</v>
      </c>
      <c r="K26" s="9"/>
      <c r="L26" s="12"/>
      <c r="M26" s="15" t="s">
        <v>5</v>
      </c>
      <c r="N26" s="9"/>
      <c r="O26" s="12"/>
    </row>
    <row r="27" spans="1:15" x14ac:dyDescent="0.25">
      <c r="A27" s="19" t="s">
        <v>2</v>
      </c>
      <c r="B27" s="20">
        <v>4.9999999999999998E-7</v>
      </c>
      <c r="C27" s="21" t="s">
        <v>8</v>
      </c>
      <c r="D27" s="19" t="s">
        <v>2</v>
      </c>
      <c r="E27" s="20"/>
      <c r="F27" s="21"/>
      <c r="G27" s="19" t="s">
        <v>2</v>
      </c>
      <c r="H27" s="20"/>
      <c r="I27" s="21"/>
      <c r="J27" s="19" t="s">
        <v>2</v>
      </c>
      <c r="K27" s="20"/>
      <c r="L27" s="21"/>
      <c r="M27" s="19" t="s">
        <v>2</v>
      </c>
      <c r="N27" s="20"/>
      <c r="O27" s="21"/>
    </row>
    <row r="28" spans="1:15" x14ac:dyDescent="0.25">
      <c r="A28" s="14" t="s">
        <v>3</v>
      </c>
      <c r="B28" s="20">
        <v>4.9999999999999998E-7</v>
      </c>
      <c r="C28" s="11"/>
      <c r="D28" s="14" t="s">
        <v>3</v>
      </c>
      <c r="E28" s="20"/>
      <c r="F28" s="11"/>
      <c r="G28" s="14" t="s">
        <v>3</v>
      </c>
      <c r="H28" s="20"/>
      <c r="I28" s="11"/>
      <c r="J28" s="14" t="s">
        <v>3</v>
      </c>
      <c r="K28" s="20"/>
      <c r="L28" s="11"/>
      <c r="M28" s="14" t="s">
        <v>3</v>
      </c>
      <c r="N28" s="20"/>
      <c r="O28" s="11"/>
    </row>
    <row r="29" spans="1:15" x14ac:dyDescent="0.25">
      <c r="A29" s="14" t="s">
        <v>4</v>
      </c>
      <c r="B29" s="20">
        <v>4.9999999999999998E-7</v>
      </c>
      <c r="C29" s="11"/>
      <c r="D29" s="14" t="s">
        <v>4</v>
      </c>
      <c r="E29" s="20"/>
      <c r="F29" s="11"/>
      <c r="G29" s="14" t="s">
        <v>4</v>
      </c>
      <c r="H29" s="20"/>
      <c r="I29" s="11"/>
      <c r="J29" s="14" t="s">
        <v>4</v>
      </c>
      <c r="K29" s="20"/>
      <c r="L29" s="11"/>
      <c r="M29" s="14" t="s">
        <v>4</v>
      </c>
      <c r="N29" s="20"/>
      <c r="O29" s="11"/>
    </row>
    <row r="30" spans="1:15" ht="15.75" thickBot="1" x14ac:dyDescent="0.3">
      <c r="A30" s="16" t="s">
        <v>5</v>
      </c>
      <c r="B30" s="22">
        <v>4.9999999999999998E-7</v>
      </c>
      <c r="C30" s="17"/>
      <c r="D30" s="16" t="s">
        <v>5</v>
      </c>
      <c r="E30" s="22"/>
      <c r="F30" s="17"/>
      <c r="G30" s="16" t="s">
        <v>5</v>
      </c>
      <c r="H30" s="22"/>
      <c r="I30" s="17"/>
      <c r="J30" s="16" t="s">
        <v>5</v>
      </c>
      <c r="K30" s="22"/>
      <c r="L30" s="17"/>
      <c r="M30" s="16" t="s">
        <v>5</v>
      </c>
      <c r="N30" s="22"/>
      <c r="O30" s="17"/>
    </row>
    <row r="31" spans="1:15" x14ac:dyDescent="0.25">
      <c r="A31" s="13" t="s">
        <v>2</v>
      </c>
      <c r="B31" s="7">
        <v>2.4999999999999999E-7</v>
      </c>
      <c r="C31" s="10" t="s">
        <v>8</v>
      </c>
      <c r="D31" s="13" t="s">
        <v>2</v>
      </c>
      <c r="E31" s="7"/>
      <c r="F31" s="10"/>
      <c r="G31" s="13" t="s">
        <v>2</v>
      </c>
      <c r="H31" s="7"/>
      <c r="I31" s="10"/>
      <c r="J31" s="13" t="s">
        <v>2</v>
      </c>
      <c r="K31" s="7"/>
      <c r="L31" s="10"/>
      <c r="M31" s="13" t="s">
        <v>2</v>
      </c>
      <c r="N31" s="7"/>
      <c r="O31" s="10"/>
    </row>
    <row r="32" spans="1:15" x14ac:dyDescent="0.25">
      <c r="A32" s="14" t="s">
        <v>3</v>
      </c>
      <c r="B32" s="8">
        <v>2.4999999999999999E-7</v>
      </c>
      <c r="C32" s="11"/>
      <c r="D32" s="14" t="s">
        <v>3</v>
      </c>
      <c r="E32" s="8"/>
      <c r="F32" s="11"/>
      <c r="G32" s="14" t="s">
        <v>3</v>
      </c>
      <c r="H32" s="8"/>
      <c r="I32" s="11"/>
      <c r="J32" s="14" t="s">
        <v>3</v>
      </c>
      <c r="K32" s="8"/>
      <c r="L32" s="11"/>
      <c r="M32" s="14" t="s">
        <v>3</v>
      </c>
      <c r="N32" s="8"/>
      <c r="O32" s="11"/>
    </row>
    <row r="33" spans="1:15" x14ac:dyDescent="0.25">
      <c r="A33" s="14" t="s">
        <v>4</v>
      </c>
      <c r="B33" s="8">
        <v>2.4999999999999999E-7</v>
      </c>
      <c r="C33" s="11"/>
      <c r="D33" s="14" t="s">
        <v>4</v>
      </c>
      <c r="E33" s="8"/>
      <c r="F33" s="11"/>
      <c r="G33" s="14" t="s">
        <v>4</v>
      </c>
      <c r="H33" s="8"/>
      <c r="I33" s="11"/>
      <c r="J33" s="14" t="s">
        <v>4</v>
      </c>
      <c r="K33" s="8"/>
      <c r="L33" s="11"/>
      <c r="M33" s="14" t="s">
        <v>4</v>
      </c>
      <c r="N33" s="8"/>
      <c r="O33" s="11"/>
    </row>
    <row r="34" spans="1:15" ht="15.75" thickBot="1" x14ac:dyDescent="0.3">
      <c r="A34" s="15" t="s">
        <v>5</v>
      </c>
      <c r="B34" s="9">
        <v>2.4999999999999999E-7</v>
      </c>
      <c r="C34" s="12"/>
      <c r="D34" s="15" t="s">
        <v>5</v>
      </c>
      <c r="E34" s="9"/>
      <c r="F34" s="12"/>
      <c r="G34" s="15" t="s">
        <v>5</v>
      </c>
      <c r="H34" s="9"/>
      <c r="I34" s="12"/>
      <c r="J34" s="15" t="s">
        <v>5</v>
      </c>
      <c r="K34" s="9"/>
      <c r="L34" s="12"/>
      <c r="M34" s="15" t="s">
        <v>5</v>
      </c>
      <c r="N34" s="9"/>
      <c r="O34" s="12"/>
    </row>
    <row r="51" spans="11:12" x14ac:dyDescent="0.25">
      <c r="K51" t="s">
        <v>17</v>
      </c>
      <c r="L51" s="1">
        <v>1.0000000000000001E-5</v>
      </c>
    </row>
    <row r="52" spans="11:12" x14ac:dyDescent="0.25">
      <c r="K52" s="1">
        <v>0.74338230358339996</v>
      </c>
    </row>
  </sheetData>
  <mergeCells count="5">
    <mergeCell ref="A1:C1"/>
    <mergeCell ref="D1:F1"/>
    <mergeCell ref="G1:I1"/>
    <mergeCell ref="J1:L1"/>
    <mergeCell ref="M1:O1"/>
  </mergeCells>
  <conditionalFormatting sqref="C3:C34">
    <cfRule type="cellIs" dxfId="9" priority="9" operator="equal">
      <formula>"Failed"</formula>
    </cfRule>
    <cfRule type="cellIs" dxfId="8" priority="10" operator="equal">
      <formula>"""Failed"""</formula>
    </cfRule>
  </conditionalFormatting>
  <conditionalFormatting sqref="F3:F34">
    <cfRule type="cellIs" dxfId="7" priority="8" operator="equal">
      <formula>"Failed"</formula>
    </cfRule>
  </conditionalFormatting>
  <conditionalFormatting sqref="I3:I34">
    <cfRule type="cellIs" dxfId="6" priority="7" operator="equal">
      <formula>"Failed"</formula>
    </cfRule>
  </conditionalFormatting>
  <conditionalFormatting sqref="L3:L34">
    <cfRule type="cellIs" dxfId="5" priority="6" operator="equal">
      <formula>"Failed"</formula>
    </cfRule>
  </conditionalFormatting>
  <conditionalFormatting sqref="O3:O34">
    <cfRule type="cellIs" dxfId="4" priority="5" operator="equal">
      <formula>"Failed"</formula>
    </cfRule>
  </conditionalFormatting>
  <conditionalFormatting sqref="Y9">
    <cfRule type="cellIs" dxfId="3" priority="3" operator="equal">
      <formula>"Failed"</formula>
    </cfRule>
    <cfRule type="cellIs" dxfId="2" priority="4" operator="equal">
      <formula>"""Failed"""</formula>
    </cfRule>
  </conditionalFormatting>
  <conditionalFormatting sqref="R11:R13">
    <cfRule type="cellIs" dxfId="1" priority="2" operator="equal">
      <formula>"Failed"</formula>
    </cfRule>
  </conditionalFormatting>
  <conditionalFormatting sqref="S11:S13">
    <cfRule type="cellIs" dxfId="0" priority="1" operator="equal">
      <formula>"Failed"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Rowsell</dc:creator>
  <cp:lastModifiedBy>Christian Rowsell</cp:lastModifiedBy>
  <dcterms:created xsi:type="dcterms:W3CDTF">2023-03-16T08:25:14Z</dcterms:created>
  <dcterms:modified xsi:type="dcterms:W3CDTF">2023-03-16T10:32:48Z</dcterms:modified>
</cp:coreProperties>
</file>